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ing Simulator" sheetId="1" state="visible" r:id="rId1"/>
    <sheet name="Weighting Philosoph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Segoe UI"/>
      <b val="1"/>
      <color rgb="00243642"/>
      <sz val="14"/>
    </font>
    <font>
      <name val="Segoe UI"/>
      <color rgb="00555555"/>
      <sz val="10"/>
    </font>
    <font>
      <name val="Segoe UI"/>
      <b val="1"/>
      <color rgb="00243642"/>
      <sz val="10"/>
    </font>
    <font>
      <name val="Segoe UI"/>
      <i val="1"/>
      <color rgb="00666666"/>
      <sz val="9"/>
    </font>
    <font>
      <name val="Segoe UI"/>
      <b val="1"/>
      <color rgb="001B4F72"/>
      <sz val="13"/>
    </font>
    <font>
      <name val="Segoe UI"/>
      <b val="1"/>
      <color rgb="008B0000"/>
      <sz val="10"/>
    </font>
    <font>
      <name val="Segoe UI"/>
      <b val="1"/>
      <color rgb="00104E8B"/>
      <sz val="10"/>
    </font>
    <font>
      <name val="Segoe UI"/>
      <b val="1"/>
      <color rgb="008B0000"/>
      <sz val="14"/>
    </font>
    <font>
      <name val="Segoe UI"/>
      <b val="1"/>
      <color rgb="00104E8B"/>
      <sz val="14"/>
    </font>
    <font>
      <name val="Segoe UI"/>
      <b val="1"/>
      <color rgb="00243642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8B0000"/>
      <sz val="11"/>
    </font>
    <font>
      <name val="Segoe UI"/>
      <b val="1"/>
      <color rgb="00104E8B"/>
      <sz val="11"/>
    </font>
    <font>
      <name val="Segoe UI"/>
      <b val="1"/>
      <color rgb="00243642"/>
      <sz val="11"/>
    </font>
  </fonts>
  <fills count="8">
    <fill>
      <patternFill/>
    </fill>
    <fill>
      <patternFill patternType="gray125"/>
    </fill>
    <fill>
      <patternFill patternType="solid">
        <fgColor rgb="00FEF9E7"/>
        <bgColor rgb="00FEF9E7"/>
      </patternFill>
    </fill>
    <fill>
      <patternFill patternType="solid">
        <fgColor rgb="00FFF0F0"/>
        <bgColor rgb="00FFF0F0"/>
      </patternFill>
    </fill>
    <fill>
      <patternFill patternType="solid">
        <fgColor rgb="00F0F4FF"/>
        <bgColor rgb="00F0F4FF"/>
      </patternFill>
    </fill>
    <fill>
      <patternFill patternType="solid">
        <fgColor rgb="00E8F8F5"/>
        <bgColor rgb="00E8F8F5"/>
      </patternFill>
    </fill>
    <fill>
      <patternFill patternType="solid">
        <fgColor rgb="00243642"/>
        <bgColor rgb="00243642"/>
      </patternFill>
    </fill>
    <fill>
      <patternFill patternType="solid">
        <fgColor rgb="0034495E"/>
        <bgColor rgb="0034495E"/>
      </patternFill>
    </fill>
  </fills>
  <borders count="4">
    <border>
      <left/>
      <right/>
      <top/>
      <bottom/>
      <diagonal/>
    </border>
    <border>
      <left style="medium">
        <color rgb="00243642"/>
      </left>
      <right style="medium">
        <color rgb="00243642"/>
      </right>
      <top style="medium">
        <color rgb="00243642"/>
      </top>
      <bottom style="medium">
        <color rgb="00243642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thin">
        <color rgb="00888888"/>
      </top>
      <bottom style="double">
        <color rgb="0011111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2" fillId="3" borderId="2" pivotButton="0" quotePrefix="0" xfId="0"/>
    <xf numFmtId="0" fontId="4" fillId="3" borderId="2" pivotButton="0" quotePrefix="0" xfId="0"/>
    <xf numFmtId="0" fontId="6" fillId="3" borderId="2" pivotButton="0" quotePrefix="0" xfId="0"/>
    <xf numFmtId="0" fontId="12" fillId="3" borderId="2" applyAlignment="1" pivotButton="0" quotePrefix="0" xfId="0">
      <alignment horizontal="center" vertical="center"/>
    </xf>
    <xf numFmtId="0" fontId="13" fillId="3" borderId="2" applyAlignment="1" pivotButton="0" quotePrefix="0" xfId="0">
      <alignment horizontal="center" vertical="center"/>
    </xf>
    <xf numFmtId="0" fontId="13" fillId="0" borderId="3" pivotButton="0" quotePrefix="0" xfId="0"/>
    <xf numFmtId="0" fontId="0" fillId="0" borderId="3" pivotButton="0" quotePrefix="0" xfId="0"/>
    <xf numFmtId="0" fontId="4" fillId="0" borderId="3" pivotButton="0" quotePrefix="0" xfId="0"/>
    <xf numFmtId="0" fontId="14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2" fillId="4" borderId="2" pivotButton="0" quotePrefix="0" xfId="0"/>
    <xf numFmtId="0" fontId="4" fillId="4" borderId="2" pivotButton="0" quotePrefix="0" xfId="0"/>
    <xf numFmtId="0" fontId="7" fillId="4" borderId="2" pivotButton="0" quotePrefix="0" xfId="0"/>
    <xf numFmtId="0" fontId="12" fillId="4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15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6" fillId="0" borderId="0" pivotButton="0" quotePrefix="0" xfId="0"/>
    <xf numFmtId="0" fontId="4" fillId="0" borderId="0" pivotButton="0" quotePrefix="0" xfId="0"/>
    <xf numFmtId="0" fontId="11" fillId="7" borderId="2" applyAlignment="1" pivotButton="0" quotePrefix="0" xfId="0">
      <alignment horizontal="left" vertical="center"/>
    </xf>
    <xf numFmtId="0" fontId="11" fillId="7" borderId="2" applyAlignment="1" pivotButton="0" quotePrefix="0" xfId="0">
      <alignment horizontal="center" vertical="center"/>
    </xf>
    <xf numFmtId="0" fontId="14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15" customWidth="1" min="3" max="3"/>
    <col width="19" customWidth="1" min="4" max="4"/>
    <col width="20" customWidth="1" min="5" max="5"/>
    <col width="19" customWidth="1" min="6" max="6"/>
    <col width="18" customWidth="1" min="7" max="7"/>
    <col width="16" customWidth="1" min="8" max="8"/>
    <col width="44" customWidth="1" min="9" max="9"/>
    <col width="95" customWidth="1" min="10" max="10"/>
  </cols>
  <sheetData>
    <row r="1">
      <c r="A1" s="1" t="inlineStr">
        <is>
          <t>WoW Forever (Classic+) Faction Vote Simulator</t>
        </is>
      </c>
    </row>
    <row r="2">
      <c r="A2" s="2" t="inlineStr">
        <is>
          <t>Adjust era weights in D4:F4. Columns D, E, F use native checkboxes.</t>
        </is>
      </c>
    </row>
    <row r="3">
      <c r="D3" s="3" t="inlineStr">
        <is>
          <t>Classic (Oldest)</t>
        </is>
      </c>
      <c r="E3" s="3" t="inlineStr">
        <is>
          <t>SoD (Semi-Recent)</t>
        </is>
      </c>
      <c r="F3" s="3" t="inlineStr">
        <is>
          <t>Retail (Current)</t>
        </is>
      </c>
      <c r="H3" s="4" t="inlineStr">
        <is>
          <t>HORDE TOTAL</t>
        </is>
      </c>
      <c r="I3" s="5" t="inlineStr">
        <is>
          <t>ALLIANCE TOTAL</t>
        </is>
      </c>
      <c r="J3" s="6" t="inlineStr">
        <is>
          <t>WINNING FACTION</t>
        </is>
      </c>
    </row>
    <row r="4">
      <c r="C4" s="7" t="inlineStr">
        <is>
          <t>ERA WEIGHTS:</t>
        </is>
      </c>
      <c r="D4" s="8" t="n">
        <v>2</v>
      </c>
      <c r="E4" s="8" t="n">
        <v>3</v>
      </c>
      <c r="F4" s="8" t="n">
        <v>1</v>
      </c>
      <c r="H4" s="9">
        <f>SUM(G8:G26)</f>
        <v/>
      </c>
      <c r="I4" s="10">
        <f>SUM(G28:G50)</f>
        <v/>
      </c>
      <c r="J4" s="11">
        <f>IF(H4&gt;I4, "HORDE (+" &amp; (H4-I4) &amp; ")", IF(I4&gt;H4, "ALLIANCE (+" &amp; (I4-H4) &amp; ")", "DEAD TIE"))</f>
        <v/>
      </c>
    </row>
    <row r="5"/>
    <row r="6"/>
    <row r="7">
      <c r="A7" s="12" t="inlineStr">
        <is>
          <t>Player Name</t>
        </is>
      </c>
      <c r="B7" s="12" t="inlineStr">
        <is>
          <t>Discord Tag / Identity</t>
        </is>
      </c>
      <c r="C7" s="12" t="inlineStr">
        <is>
          <t>Faction</t>
        </is>
      </c>
      <c r="D7" s="13" t="inlineStr">
        <is>
          <t>Classic</t>
        </is>
      </c>
      <c r="E7" s="13" t="inlineStr">
        <is>
          <t>SoD</t>
        </is>
      </c>
      <c r="F7" s="13" t="inlineStr">
        <is>
          <t>Retail</t>
        </is>
      </c>
      <c r="G7" s="13" t="inlineStr">
        <is>
          <t>Weighted Votes</t>
        </is>
      </c>
      <c r="H7" s="13" t="inlineStr">
        <is>
          <t>Eras Played</t>
        </is>
      </c>
      <c r="I7" s="12" t="inlineStr">
        <is>
          <t>Notes</t>
        </is>
      </c>
    </row>
    <row r="8">
      <c r="A8" s="14" t="inlineStr">
        <is>
          <t>rkkixlol</t>
        </is>
      </c>
      <c r="B8" s="15" t="inlineStr">
        <is>
          <t>rkkixlol</t>
        </is>
      </c>
      <c r="C8" s="16" t="inlineStr">
        <is>
          <t>Horde</t>
        </is>
      </c>
      <c r="D8" s="17" t="b">
        <v>1</v>
      </c>
      <c r="E8" s="17" t="b">
        <v>0</v>
      </c>
      <c r="F8" s="17" t="b">
        <v>0</v>
      </c>
      <c r="G8" s="18">
        <f>((IF(D8, 1, 0) * $D$4) + (IF(E8, 1, 0) * $E$4) + (IF(F8, 1, 0) * $F$4))</f>
        <v/>
      </c>
      <c r="H8" s="17">
        <f>COUNTIF(D8:F8, TRUE)</f>
        <v/>
      </c>
      <c r="I8" s="15" t="inlineStr">
        <is>
          <t>Classic Veteran only</t>
        </is>
      </c>
    </row>
    <row r="9">
      <c r="A9" s="14" t="inlineStr">
        <is>
          <t>drey</t>
        </is>
      </c>
      <c r="B9" s="15" t="inlineStr">
        <is>
          <t>.drey</t>
        </is>
      </c>
      <c r="C9" s="16" t="inlineStr">
        <is>
          <t>Horde</t>
        </is>
      </c>
      <c r="D9" s="17" t="b">
        <v>1</v>
      </c>
      <c r="E9" s="17" t="b">
        <v>1</v>
      </c>
      <c r="F9" s="17" t="b">
        <v>1</v>
      </c>
      <c r="G9" s="18">
        <f>((IF(D9, 1, 0) * $D$4) + (IF(E9, 1, 0) * $E$4) + (IF(F9, 1, 0) * $F$4))</f>
        <v/>
      </c>
      <c r="H9" s="17">
        <f>COUNTIF(D9:F9, TRUE)</f>
        <v/>
      </c>
      <c r="I9" s="15" t="inlineStr">
        <is>
          <t>All 3 Eras</t>
        </is>
      </c>
    </row>
    <row r="10">
      <c r="A10" s="14" t="inlineStr">
        <is>
          <t>korovaemae</t>
        </is>
      </c>
      <c r="B10" s="15" t="inlineStr">
        <is>
          <t>korovaemae</t>
        </is>
      </c>
      <c r="C10" s="16" t="inlineStr">
        <is>
          <t>Horde</t>
        </is>
      </c>
      <c r="D10" s="17" t="b">
        <v>0</v>
      </c>
      <c r="E10" s="17" t="b">
        <v>0</v>
      </c>
      <c r="F10" s="17" t="b">
        <v>0</v>
      </c>
      <c r="G10" s="18">
        <f>((IF(D10, 1, 0) * $D$4) + (IF(E10, 1, 0) * $E$4) + (IF(F10, 1, 0) * $F$4))</f>
        <v/>
      </c>
      <c r="H10" s="17">
        <f>COUNTIF(D10:F10, TRUE)</f>
        <v/>
      </c>
      <c r="I10" s="15" t="inlineStr">
        <is>
          <t>0 Eras played (0 votes)</t>
        </is>
      </c>
    </row>
    <row r="11">
      <c r="A11" s="14" t="inlineStr">
        <is>
          <t>xak</t>
        </is>
      </c>
      <c r="B11" s="15" t="inlineStr">
        <is>
          <t>laneyr</t>
        </is>
      </c>
      <c r="C11" s="16" t="inlineStr">
        <is>
          <t>Horde</t>
        </is>
      </c>
      <c r="D11" s="17" t="b">
        <v>1</v>
      </c>
      <c r="E11" s="17" t="b">
        <v>1</v>
      </c>
      <c r="F11" s="17" t="b">
        <v>1</v>
      </c>
      <c r="G11" s="18">
        <f>((IF(D11, 1, 0) * $D$4) + (IF(E11, 1, 0) * $E$4) + (IF(F11, 1, 0) * $F$4))</f>
        <v/>
      </c>
      <c r="H11" s="17">
        <f>COUNTIF(D11:F11, TRUE)</f>
        <v/>
      </c>
      <c r="I11" s="15" t="inlineStr">
        <is>
          <t>All 3 Eras</t>
        </is>
      </c>
    </row>
    <row r="12">
      <c r="A12" s="14" t="inlineStr">
        <is>
          <t>edd</t>
        </is>
      </c>
      <c r="B12" s="15" t="inlineStr">
        <is>
          <t>whu2625</t>
        </is>
      </c>
      <c r="C12" s="16" t="inlineStr">
        <is>
          <t>Horde</t>
        </is>
      </c>
      <c r="D12" s="17" t="b">
        <v>1</v>
      </c>
      <c r="E12" s="17" t="b">
        <v>1</v>
      </c>
      <c r="F12" s="17" t="b">
        <v>1</v>
      </c>
      <c r="G12" s="18">
        <f>((IF(D12, 1, 0) * $D$4) + (IF(E12, 1, 0) * $E$4) + (IF(F12, 1, 0) * $F$4))</f>
        <v/>
      </c>
      <c r="H12" s="17">
        <f>COUNTIF(D12:F12, TRUE)</f>
        <v/>
      </c>
      <c r="I12" s="15" t="inlineStr">
        <is>
          <t>All 3 Eras</t>
        </is>
      </c>
    </row>
    <row r="13">
      <c r="A13" s="14" t="inlineStr">
        <is>
          <t>bosse</t>
        </is>
      </c>
      <c r="B13" s="15" t="inlineStr">
        <is>
          <t>boverner</t>
        </is>
      </c>
      <c r="C13" s="16" t="inlineStr">
        <is>
          <t>Horde</t>
        </is>
      </c>
      <c r="D13" s="17" t="b">
        <v>0</v>
      </c>
      <c r="E13" s="17" t="b">
        <v>1</v>
      </c>
      <c r="F13" s="17" t="b">
        <v>0</v>
      </c>
      <c r="G13" s="18">
        <f>((IF(D13, 1, 0) * $D$4) + (IF(E13, 1, 0) * $E$4) + (IF(F13, 1, 0) * $F$4))</f>
        <v/>
      </c>
      <c r="H13" s="17">
        <f>COUNTIF(D13:F13, TRUE)</f>
        <v/>
      </c>
      <c r="I13" s="15" t="inlineStr">
        <is>
          <t>SoD only</t>
        </is>
      </c>
    </row>
    <row r="14">
      <c r="A14" s="14" t="inlineStr">
        <is>
          <t>bancai</t>
        </is>
      </c>
      <c r="B14" s="15" t="inlineStr">
        <is>
          <t>bancai</t>
        </is>
      </c>
      <c r="C14" s="16" t="inlineStr">
        <is>
          <t>Horde</t>
        </is>
      </c>
      <c r="D14" s="17" t="b">
        <v>1</v>
      </c>
      <c r="E14" s="17" t="b">
        <v>1</v>
      </c>
      <c r="F14" s="17" t="b">
        <v>0</v>
      </c>
      <c r="G14" s="18">
        <f>((IF(D14, 1, 0) * $D$4) + (IF(E14, 1, 0) * $E$4) + (IF(F14, 1, 0) * $F$4))</f>
        <v/>
      </c>
      <c r="H14" s="17">
        <f>COUNTIF(D14:F14, TRUE)</f>
        <v/>
      </c>
      <c r="I14" s="15" t="inlineStr">
        <is>
          <t>Classic + SoD</t>
        </is>
      </c>
    </row>
    <row r="15">
      <c r="A15" s="14" t="inlineStr">
        <is>
          <t>raksodwarf</t>
        </is>
      </c>
      <c r="B15" s="15" t="inlineStr">
        <is>
          <t>dwarfoskar</t>
        </is>
      </c>
      <c r="C15" s="16" t="inlineStr">
        <is>
          <t>Horde</t>
        </is>
      </c>
      <c r="D15" s="17" t="b">
        <v>0</v>
      </c>
      <c r="E15" s="17" t="b">
        <v>1</v>
      </c>
      <c r="F15" s="17" t="b">
        <v>1</v>
      </c>
      <c r="G15" s="18">
        <f>((IF(D15, 1, 0) * $D$4) + (IF(E15, 1, 0) * $E$4) + (IF(F15, 1, 0) * $F$4))</f>
        <v/>
      </c>
      <c r="H15" s="17">
        <f>COUNTIF(D15:F15, TRUE)</f>
        <v/>
      </c>
      <c r="I15" s="15" t="inlineStr">
        <is>
          <t>SoD + Retail</t>
        </is>
      </c>
    </row>
    <row r="16">
      <c r="A16" s="14" t="inlineStr">
        <is>
          <t>Erelja</t>
        </is>
      </c>
      <c r="B16" s="15" t="inlineStr">
        <is>
          <t>beccman (Beccman)</t>
        </is>
      </c>
      <c r="C16" s="16" t="inlineStr">
        <is>
          <t>Horde</t>
        </is>
      </c>
      <c r="D16" s="17" t="b">
        <v>0</v>
      </c>
      <c r="E16" s="17" t="b">
        <v>1</v>
      </c>
      <c r="F16" s="17" t="b">
        <v>1</v>
      </c>
      <c r="G16" s="18">
        <f>((IF(D16, 1, 0) * $D$4) + (IF(E16, 1, 0) * $E$4) + (IF(F16, 1, 0) * $F$4))</f>
        <v/>
      </c>
      <c r="H16" s="17">
        <f>COUNTIF(D16:F16, TRUE)</f>
        <v/>
      </c>
      <c r="I16" s="15" t="inlineStr">
        <is>
          <t>Confirmed: Beccman is Erelja</t>
        </is>
      </c>
    </row>
    <row r="17">
      <c r="A17" s="14" t="inlineStr">
        <is>
          <t>sam</t>
        </is>
      </c>
      <c r="B17" s="15" t="inlineStr">
        <is>
          <t>soonalive</t>
        </is>
      </c>
      <c r="C17" s="16" t="inlineStr">
        <is>
          <t>Horde</t>
        </is>
      </c>
      <c r="D17" s="17" t="b">
        <v>0</v>
      </c>
      <c r="E17" s="17" t="b">
        <v>0</v>
      </c>
      <c r="F17" s="17" t="b">
        <v>1</v>
      </c>
      <c r="G17" s="18">
        <f>((IF(D17, 1, 0) * $D$4) + (IF(E17, 1, 0) * $E$4) + (IF(F17, 1, 0) * $F$4))</f>
        <v/>
      </c>
      <c r="H17" s="17">
        <f>COUNTIF(D17:F17, TRUE)</f>
        <v/>
      </c>
      <c r="I17" s="15" t="inlineStr">
        <is>
          <t>Retail only</t>
        </is>
      </c>
    </row>
    <row r="18">
      <c r="A18" s="14" t="inlineStr">
        <is>
          <t>ayer</t>
        </is>
      </c>
      <c r="B18" s="15" t="inlineStr">
        <is>
          <t>ayerdn</t>
        </is>
      </c>
      <c r="C18" s="16" t="inlineStr">
        <is>
          <t>Horde</t>
        </is>
      </c>
      <c r="D18" s="17" t="b">
        <v>1</v>
      </c>
      <c r="E18" s="17" t="b">
        <v>1</v>
      </c>
      <c r="F18" s="17" t="b">
        <v>1</v>
      </c>
      <c r="G18" s="18">
        <f>((IF(D18, 1, 0) * $D$4) + (IF(E18, 1, 0) * $E$4) + (IF(F18, 1, 0) * $F$4))</f>
        <v/>
      </c>
      <c r="H18" s="17">
        <f>COUNTIF(D18:F18, TRUE)</f>
        <v/>
      </c>
      <c r="I18" s="15" t="inlineStr">
        <is>
          <t>All 3 Eras</t>
        </is>
      </c>
    </row>
    <row r="19">
      <c r="A19" s="14" t="inlineStr">
        <is>
          <t>elstongnome</t>
        </is>
      </c>
      <c r="B19" s="15" t="inlineStr">
        <is>
          <t>elstongunnn</t>
        </is>
      </c>
      <c r="C19" s="16" t="inlineStr">
        <is>
          <t>Horde</t>
        </is>
      </c>
      <c r="D19" s="17" t="b">
        <v>0</v>
      </c>
      <c r="E19" s="17" t="b">
        <v>1</v>
      </c>
      <c r="F19" s="17" t="b">
        <v>1</v>
      </c>
      <c r="G19" s="18">
        <f>((IF(D19, 1, 0) * $D$4) + (IF(E19, 1, 0) * $E$4) + (IF(F19, 1, 0) * $F$4))</f>
        <v/>
      </c>
      <c r="H19" s="17">
        <f>COUNTIF(D19:F19, TRUE)</f>
        <v/>
      </c>
      <c r="I19" s="15" t="inlineStr">
        <is>
          <t>SoD + Retail (ElstonGunnn)</t>
        </is>
      </c>
    </row>
    <row r="20">
      <c r="A20" s="14" t="inlineStr">
        <is>
          <t>megadave</t>
        </is>
      </c>
      <c r="B20" s="15" t="inlineStr">
        <is>
          <t>.megadave</t>
        </is>
      </c>
      <c r="C20" s="16" t="inlineStr">
        <is>
          <t>Horde</t>
        </is>
      </c>
      <c r="D20" s="17" t="b">
        <v>1</v>
      </c>
      <c r="E20" s="17" t="b">
        <v>1</v>
      </c>
      <c r="F20" s="17" t="b">
        <v>0</v>
      </c>
      <c r="G20" s="18">
        <f>((IF(D20, 1, 0) * $D$4) + (IF(E20, 1, 0) * $E$4) + (IF(F20, 1, 0) * $F$4))</f>
        <v/>
      </c>
      <c r="H20" s="17">
        <f>COUNTIF(D20:F20, TRUE)</f>
        <v/>
      </c>
      <c r="I20" s="15" t="inlineStr">
        <is>
          <t>Classic + SoD</t>
        </is>
      </c>
    </row>
    <row r="21">
      <c r="A21" s="14" t="inlineStr">
        <is>
          <t>Maxibon</t>
        </is>
      </c>
      <c r="B21" s="15" t="inlineStr">
        <is>
          <t>maxibon_</t>
        </is>
      </c>
      <c r="C21" s="16" t="inlineStr">
        <is>
          <t>Horde</t>
        </is>
      </c>
      <c r="D21" s="17" t="b">
        <v>1</v>
      </c>
      <c r="E21" s="17" t="b">
        <v>1</v>
      </c>
      <c r="F21" s="17" t="b">
        <v>0</v>
      </c>
      <c r="G21" s="18">
        <f>((IF(D21, 1, 0) * $D$4) + (IF(E21, 1, 0) * $E$4) + (IF(F21, 1, 0) * $F$4))</f>
        <v/>
      </c>
      <c r="H21" s="17">
        <f>COUNTIF(D21:F21, TRUE)</f>
        <v/>
      </c>
      <c r="I21" s="15" t="inlineStr">
        <is>
          <t>Classic + SoD</t>
        </is>
      </c>
    </row>
    <row r="22">
      <c r="A22" s="14" t="inlineStr">
        <is>
          <t>scam</t>
        </is>
      </c>
      <c r="B22" s="15" t="inlineStr">
        <is>
          <t>scam</t>
        </is>
      </c>
      <c r="C22" s="16" t="inlineStr">
        <is>
          <t>Horde</t>
        </is>
      </c>
      <c r="D22" s="17" t="b">
        <v>1</v>
      </c>
      <c r="E22" s="17" t="b">
        <v>1</v>
      </c>
      <c r="F22" s="17" t="b">
        <v>1</v>
      </c>
      <c r="G22" s="18">
        <f>((IF(D22, 1, 0) * $D$4) + (IF(E22, 1, 0) * $E$4) + (IF(F22, 1, 0) * $F$4))</f>
        <v/>
      </c>
      <c r="H22" s="17">
        <f>COUNTIF(D22:F22, TRUE)</f>
        <v/>
      </c>
      <c r="I22" s="15" t="inlineStr">
        <is>
          <t>All 3 Eras - Confirmed separate from purpleman</t>
        </is>
      </c>
    </row>
    <row r="23">
      <c r="A23" s="14" t="inlineStr">
        <is>
          <t>wondo</t>
        </is>
      </c>
      <c r="B23" s="15" t="inlineStr">
        <is>
          <t>wondo__</t>
        </is>
      </c>
      <c r="C23" s="16" t="inlineStr">
        <is>
          <t>Horde</t>
        </is>
      </c>
      <c r="D23" s="17" t="b">
        <v>1</v>
      </c>
      <c r="E23" s="17" t="b">
        <v>0</v>
      </c>
      <c r="F23" s="17" t="b">
        <v>1</v>
      </c>
      <c r="G23" s="18">
        <f>((IF(D23, 1, 0) * $D$4) + (IF(E23, 1, 0) * $E$4) + (IF(F23, 1, 0) * $F$4))</f>
        <v/>
      </c>
      <c r="H23" s="17">
        <f>COUNTIF(D23:F23, TRUE)</f>
        <v/>
      </c>
      <c r="I23" s="15" t="inlineStr">
        <is>
          <t>Classic + Retail</t>
        </is>
      </c>
    </row>
    <row r="24">
      <c r="A24" s="14" t="inlineStr">
        <is>
          <t>fartlordx</t>
        </is>
      </c>
      <c r="B24" s="15" t="inlineStr">
        <is>
          <t>tomtheswagboii</t>
        </is>
      </c>
      <c r="C24" s="16" t="inlineStr">
        <is>
          <t>Horde</t>
        </is>
      </c>
      <c r="D24" s="17" t="b">
        <v>1</v>
      </c>
      <c r="E24" s="17" t="b">
        <v>1</v>
      </c>
      <c r="F24" s="17" t="b">
        <v>1</v>
      </c>
      <c r="G24" s="18">
        <f>((IF(D24, 1, 0) * $D$4) + (IF(E24, 1, 0) * $E$4) + (IF(F24, 1, 0) * $F$4))</f>
        <v/>
      </c>
      <c r="H24" s="17">
        <f>COUNTIF(D24:F24, TRUE)</f>
        <v/>
      </c>
      <c r="I24" s="15" t="inlineStr">
        <is>
          <t>All 3 Eras</t>
        </is>
      </c>
    </row>
    <row r="25">
      <c r="A25" s="14" t="inlineStr">
        <is>
          <t>Nexu / Deneve</t>
        </is>
      </c>
      <c r="B25" s="15" t="inlineStr">
        <is>
          <t>james10m1985 (James1406)</t>
        </is>
      </c>
      <c r="C25" s="16" t="inlineStr">
        <is>
          <t>Horde</t>
        </is>
      </c>
      <c r="D25" s="17" t="b">
        <v>1</v>
      </c>
      <c r="E25" s="17" t="b">
        <v>1</v>
      </c>
      <c r="F25" s="17" t="b">
        <v>0</v>
      </c>
      <c r="G25" s="18">
        <f>((IF(D25, 1, 0) * $D$4) + (IF(E25, 1, 0) * $E$4) + (IF(F25, 1, 0) * $F$4))</f>
        <v/>
      </c>
      <c r="H25" s="17">
        <f>COUNTIF(D25:F25, TRUE)</f>
        <v/>
      </c>
      <c r="I25" s="15" t="inlineStr">
        <is>
          <t>Confirmed: James1406 is Nexu/Deneve</t>
        </is>
      </c>
    </row>
    <row r="26">
      <c r="A26" s="14" t="inlineStr">
        <is>
          <t>Vanargand</t>
        </is>
      </c>
      <c r="B26" s="15" t="inlineStr">
        <is>
          <t>_vanargand_</t>
        </is>
      </c>
      <c r="C26" s="16" t="inlineStr">
        <is>
          <t>Horde</t>
        </is>
      </c>
      <c r="D26" s="17" t="b">
        <v>1</v>
      </c>
      <c r="E26" s="17" t="b">
        <v>0</v>
      </c>
      <c r="F26" s="17" t="b">
        <v>1</v>
      </c>
      <c r="G26" s="18">
        <f>((IF(D26, 1, 0) * $D$4) + (IF(E26, 1, 0) * $E$4) + (IF(F26, 1, 0) * $F$4))</f>
        <v/>
      </c>
      <c r="H26" s="17">
        <f>COUNTIF(D26:F26, TRUE)</f>
        <v/>
      </c>
      <c r="I26" s="15" t="inlineStr">
        <is>
          <t>Confirmed: Played at least Classic &amp; Retail</t>
        </is>
      </c>
    </row>
    <row r="27">
      <c r="A27" s="19" t="inlineStr">
        <is>
          <t>Horde Subtotal</t>
        </is>
      </c>
      <c r="B27" s="20" t="n"/>
      <c r="C27" s="21" t="inlineStr">
        <is>
          <t>19 Players</t>
        </is>
      </c>
      <c r="D27" s="20" t="n"/>
      <c r="E27" s="20" t="n"/>
      <c r="F27" s="20" t="n"/>
      <c r="G27" s="22">
        <f>SUM(G8:G26)</f>
        <v/>
      </c>
      <c r="H27" s="23">
        <f>SUM(H8:H26)</f>
        <v/>
      </c>
      <c r="I27" s="20" t="n"/>
    </row>
    <row r="28">
      <c r="A28" s="24" t="inlineStr">
        <is>
          <t>sodam</t>
        </is>
      </c>
      <c r="B28" s="25" t="inlineStr">
        <is>
          <t>.sodam</t>
        </is>
      </c>
      <c r="C28" s="26" t="inlineStr">
        <is>
          <t>Alliance</t>
        </is>
      </c>
      <c r="D28" s="27" t="b">
        <v>1</v>
      </c>
      <c r="E28" s="27" t="b">
        <v>1</v>
      </c>
      <c r="F28" s="27" t="b">
        <v>1</v>
      </c>
      <c r="G28" s="28">
        <f>((IF(D28, 1, 0) * $D$4) + (IF(E28, 1, 0) * $E$4) + (IF(F28, 1, 0) * $F$4))</f>
        <v/>
      </c>
      <c r="H28" s="27">
        <f>COUNTIF(D28:F28, TRUE)</f>
        <v/>
      </c>
      <c r="I28" s="25" t="inlineStr">
        <is>
          <t>All 3 Eras - Voted Alliance on Discord</t>
        </is>
      </c>
    </row>
    <row r="29">
      <c r="A29" s="24" t="inlineStr">
        <is>
          <t>falkoro</t>
        </is>
      </c>
      <c r="B29" s="25" t="inlineStr">
        <is>
          <t>watchdominion</t>
        </is>
      </c>
      <c r="C29" s="26" t="inlineStr">
        <is>
          <t>Alliance</t>
        </is>
      </c>
      <c r="D29" s="27" t="b">
        <v>0</v>
      </c>
      <c r="E29" s="27" t="b">
        <v>0</v>
      </c>
      <c r="F29" s="27" t="b">
        <v>0</v>
      </c>
      <c r="G29" s="28">
        <f>((IF(D29, 1, 0) * $D$4) + (IF(E29, 1, 0) * $E$4) + (IF(F29, 1, 0) * $F$4))</f>
        <v/>
      </c>
      <c r="H29" s="27">
        <f>COUNTIF(D29:F29, TRUE)</f>
        <v/>
      </c>
      <c r="I29" s="25" t="inlineStr">
        <is>
          <t>On Hiatus (0 votes)</t>
        </is>
      </c>
    </row>
    <row r="30">
      <c r="A30" s="24" t="inlineStr">
        <is>
          <t>brokest boi</t>
        </is>
      </c>
      <c r="B30" s="25" t="inlineStr">
        <is>
          <t>(Sheet member)</t>
        </is>
      </c>
      <c r="C30" s="26" t="inlineStr">
        <is>
          <t>Alliance</t>
        </is>
      </c>
      <c r="D30" s="27" t="b">
        <v>1</v>
      </c>
      <c r="E30" s="27" t="b">
        <v>1</v>
      </c>
      <c r="F30" s="27" t="b">
        <v>1</v>
      </c>
      <c r="G30" s="28">
        <f>((IF(D30, 1, 0) * $D$4) + (IF(E30, 1, 0) * $E$4) + (IF(F30, 1, 0) * $F$4))</f>
        <v/>
      </c>
      <c r="H30" s="27">
        <f>COUNTIF(D30:F30, TRUE)</f>
        <v/>
      </c>
      <c r="I30" s="25" t="inlineStr">
        <is>
          <t>All 3 Eras</t>
        </is>
      </c>
    </row>
    <row r="31">
      <c r="A31" s="24" t="inlineStr">
        <is>
          <t>thistlewind</t>
        </is>
      </c>
      <c r="B31" s="25" t="inlineStr">
        <is>
          <t>razortek</t>
        </is>
      </c>
      <c r="C31" s="26" t="inlineStr">
        <is>
          <t>Alliance</t>
        </is>
      </c>
      <c r="D31" s="27" t="b">
        <v>0</v>
      </c>
      <c r="E31" s="27" t="b">
        <v>1</v>
      </c>
      <c r="F31" s="27" t="b">
        <v>1</v>
      </c>
      <c r="G31" s="28">
        <f>((IF(D31, 1, 0) * $D$4) + (IF(E31, 1, 0) * $E$4) + (IF(F31, 1, 0) * $F$4))</f>
        <v/>
      </c>
      <c r="H31" s="27">
        <f>COUNTIF(D31:F31, TRUE)</f>
        <v/>
      </c>
      <c r="I31" s="25" t="inlineStr">
        <is>
          <t>SoD + Retail</t>
        </is>
      </c>
    </row>
    <row r="32">
      <c r="A32" s="24" t="inlineStr">
        <is>
          <t>neych</t>
        </is>
      </c>
      <c r="B32" s="25" t="inlineStr">
        <is>
          <t>yellowparenti</t>
        </is>
      </c>
      <c r="C32" s="26" t="inlineStr">
        <is>
          <t>Alliance</t>
        </is>
      </c>
      <c r="D32" s="27" t="b">
        <v>0</v>
      </c>
      <c r="E32" s="27" t="b">
        <v>1</v>
      </c>
      <c r="F32" s="27" t="b">
        <v>1</v>
      </c>
      <c r="G32" s="28">
        <f>((IF(D32, 1, 0) * $D$4) + (IF(E32, 1, 0) * $E$4) + (IF(F32, 1, 0) * $F$4))</f>
        <v/>
      </c>
      <c r="H32" s="27">
        <f>COUNTIF(D32:F32, TRUE)</f>
        <v/>
      </c>
      <c r="I32" s="25" t="inlineStr">
        <is>
          <t>SoD + Retail</t>
        </is>
      </c>
    </row>
    <row r="33">
      <c r="A33" s="24" t="inlineStr">
        <is>
          <t>grimzzy</t>
        </is>
      </c>
      <c r="B33" s="25" t="inlineStr">
        <is>
          <t>grimzzy</t>
        </is>
      </c>
      <c r="C33" s="26" t="inlineStr">
        <is>
          <t>Alliance</t>
        </is>
      </c>
      <c r="D33" s="27" t="b">
        <v>1</v>
      </c>
      <c r="E33" s="27" t="b">
        <v>1</v>
      </c>
      <c r="F33" s="27" t="b">
        <v>1</v>
      </c>
      <c r="G33" s="28">
        <f>((IF(D33, 1, 0) * $D$4) + (IF(E33, 1, 0) * $E$4) + (IF(F33, 1, 0) * $F$4))</f>
        <v/>
      </c>
      <c r="H33" s="27">
        <f>COUNTIF(D33:F33, TRUE)</f>
        <v/>
      </c>
      <c r="I33" s="25" t="inlineStr">
        <is>
          <t>All 3 Eras</t>
        </is>
      </c>
    </row>
    <row r="34">
      <c r="A34" s="24" t="inlineStr">
        <is>
          <t>mcflash</t>
        </is>
      </c>
      <c r="B34" s="25" t="inlineStr">
        <is>
          <t>mikzon</t>
        </is>
      </c>
      <c r="C34" s="26" t="inlineStr">
        <is>
          <t>Alliance</t>
        </is>
      </c>
      <c r="D34" s="27" t="b">
        <v>0</v>
      </c>
      <c r="E34" s="27" t="b">
        <v>1</v>
      </c>
      <c r="F34" s="27" t="b">
        <v>1</v>
      </c>
      <c r="G34" s="28">
        <f>((IF(D34, 1, 0) * $D$4) + (IF(E34, 1, 0) * $E$4) + (IF(F34, 1, 0) * $F$4))</f>
        <v/>
      </c>
      <c r="H34" s="27">
        <f>COUNTIF(D34:F34, TRUE)</f>
        <v/>
      </c>
      <c r="I34" s="25" t="inlineStr">
        <is>
          <t>SoD + Retail</t>
        </is>
      </c>
    </row>
    <row r="35">
      <c r="A35" s="24" t="inlineStr">
        <is>
          <t>monarch</t>
        </is>
      </c>
      <c r="B35" s="25" t="inlineStr">
        <is>
          <t>monarch22</t>
        </is>
      </c>
      <c r="C35" s="26" t="inlineStr">
        <is>
          <t>Alliance</t>
        </is>
      </c>
      <c r="D35" s="27" t="b">
        <v>1</v>
      </c>
      <c r="E35" s="27" t="b">
        <v>1</v>
      </c>
      <c r="F35" s="27" t="b">
        <v>0</v>
      </c>
      <c r="G35" s="28">
        <f>((IF(D35, 1, 0) * $D$4) + (IF(E35, 1, 0) * $E$4) + (IF(F35, 1, 0) * $F$4))</f>
        <v/>
      </c>
      <c r="H35" s="27">
        <f>COUNTIF(D35:F35, TRUE)</f>
        <v/>
      </c>
      <c r="I35" s="25" t="inlineStr">
        <is>
          <t>Classic + SoD</t>
        </is>
      </c>
    </row>
    <row r="36">
      <c r="A36" s="24" t="inlineStr">
        <is>
          <t>bob</t>
        </is>
      </c>
      <c r="B36" s="25" t="inlineStr">
        <is>
          <t>kbokej</t>
        </is>
      </c>
      <c r="C36" s="26" t="inlineStr">
        <is>
          <t>Alliance</t>
        </is>
      </c>
      <c r="D36" s="27" t="b">
        <v>0</v>
      </c>
      <c r="E36" s="27" t="b">
        <v>1</v>
      </c>
      <c r="F36" s="27" t="b">
        <v>1</v>
      </c>
      <c r="G36" s="28">
        <f>((IF(D36, 1, 0) * $D$4) + (IF(E36, 1, 0) * $E$4) + (IF(F36, 1, 0) * $F$4))</f>
        <v/>
      </c>
      <c r="H36" s="27">
        <f>COUNTIF(D36:F36, TRUE)</f>
        <v/>
      </c>
      <c r="I36" s="25" t="inlineStr">
        <is>
          <t>SoD + Retail</t>
        </is>
      </c>
    </row>
    <row r="37">
      <c r="A37" s="24" t="inlineStr">
        <is>
          <t>Biolume</t>
        </is>
      </c>
      <c r="B37" s="25" t="inlineStr">
        <is>
          <t>neverbloom6760 (Neverbloom)</t>
        </is>
      </c>
      <c r="C37" s="26" t="inlineStr">
        <is>
          <t>Alliance</t>
        </is>
      </c>
      <c r="D37" s="27" t="b">
        <v>0</v>
      </c>
      <c r="E37" s="27" t="b">
        <v>1</v>
      </c>
      <c r="F37" s="27" t="b">
        <v>0</v>
      </c>
      <c r="G37" s="28">
        <f>((IF(D37, 1, 0) * $D$4) + (IF(E37, 1, 0) * $E$4) + (IF(F37, 1, 0) * $F$4))</f>
        <v/>
      </c>
      <c r="H37" s="27">
        <f>COUNTIF(D37:F37, TRUE)</f>
        <v/>
      </c>
      <c r="I37" s="25" t="inlineStr">
        <is>
          <t>Confirmed: Neverbloom is Biolume</t>
        </is>
      </c>
    </row>
    <row r="38">
      <c r="A38" s="24" t="inlineStr">
        <is>
          <t>purpleman</t>
        </is>
      </c>
      <c r="B38" s="25" t="inlineStr">
        <is>
          <t>marsian0687 (Purpleman)</t>
        </is>
      </c>
      <c r="C38" s="26" t="inlineStr">
        <is>
          <t>Alliance</t>
        </is>
      </c>
      <c r="D38" s="27" t="b">
        <v>1</v>
      </c>
      <c r="E38" s="27" t="b">
        <v>1</v>
      </c>
      <c r="F38" s="27" t="b">
        <v>1</v>
      </c>
      <c r="G38" s="28">
        <f>((IF(D38, 1, 0) * $D$4) + (IF(E38, 1, 0) * $E$4) + (IF(F38, 1, 0) * $F$4))</f>
        <v/>
      </c>
      <c r="H38" s="27">
        <f>COUNTIF(D38:F38, TRUE)</f>
        <v/>
      </c>
      <c r="I38" s="25" t="inlineStr">
        <is>
          <t>All 3 Eras - Distinct player in Alliance</t>
        </is>
      </c>
    </row>
    <row r="39">
      <c r="A39" s="24" t="inlineStr">
        <is>
          <t>yucca</t>
        </is>
      </c>
      <c r="B39" s="25" t="inlineStr">
        <is>
          <t>yuccapalme.</t>
        </is>
      </c>
      <c r="C39" s="26" t="inlineStr">
        <is>
          <t>Alliance</t>
        </is>
      </c>
      <c r="D39" s="27" t="b">
        <v>1</v>
      </c>
      <c r="E39" s="27" t="b">
        <v>1</v>
      </c>
      <c r="F39" s="27" t="b">
        <v>0</v>
      </c>
      <c r="G39" s="28">
        <f>((IF(D39, 1, 0) * $D$4) + (IF(E39, 1, 0) * $E$4) + (IF(F39, 1, 0) * $F$4))</f>
        <v/>
      </c>
      <c r="H39" s="27">
        <f>COUNTIF(D39:F39, TRUE)</f>
        <v/>
      </c>
      <c r="I39" s="25" t="inlineStr">
        <is>
          <t>Classic + SoD</t>
        </is>
      </c>
    </row>
    <row r="40">
      <c r="A40" s="24" t="inlineStr">
        <is>
          <t>cloggy</t>
        </is>
      </c>
      <c r="B40" s="25" t="inlineStr">
        <is>
          <t>koen_0267</t>
        </is>
      </c>
      <c r="C40" s="26" t="inlineStr">
        <is>
          <t>Alliance</t>
        </is>
      </c>
      <c r="D40" s="27" t="b">
        <v>0</v>
      </c>
      <c r="E40" s="27" t="b">
        <v>1</v>
      </c>
      <c r="F40" s="27" t="b">
        <v>1</v>
      </c>
      <c r="G40" s="28">
        <f>((IF(D40, 1, 0) * $D$4) + (IF(E40, 1, 0) * $E$4) + (IF(F40, 1, 0) * $F$4))</f>
        <v/>
      </c>
      <c r="H40" s="27">
        <f>COUNTIF(D40:F40, TRUE)</f>
        <v/>
      </c>
      <c r="I40" s="25" t="inlineStr">
        <is>
          <t>SoD + Retail</t>
        </is>
      </c>
    </row>
    <row r="41">
      <c r="A41" s="24" t="inlineStr">
        <is>
          <t>malc</t>
        </is>
      </c>
      <c r="B41" s="25" t="inlineStr">
        <is>
          <t>malc</t>
        </is>
      </c>
      <c r="C41" s="26" t="inlineStr">
        <is>
          <t>Alliance</t>
        </is>
      </c>
      <c r="D41" s="27" t="b">
        <v>1</v>
      </c>
      <c r="E41" s="27" t="b">
        <v>1</v>
      </c>
      <c r="F41" s="27" t="b">
        <v>1</v>
      </c>
      <c r="G41" s="28">
        <f>((IF(D41, 1, 0) * $D$4) + (IF(E41, 1, 0) * $E$4) + (IF(F41, 1, 0) * $F$4))</f>
        <v/>
      </c>
      <c r="H41" s="27">
        <f>COUNTIF(D41:F41, TRUE)</f>
        <v/>
      </c>
      <c r="I41" s="25" t="inlineStr">
        <is>
          <t>All 3 Eras - Confirmed: malc is malc</t>
        </is>
      </c>
    </row>
    <row r="42">
      <c r="A42" s="24" t="inlineStr">
        <is>
          <t>glen</t>
        </is>
      </c>
      <c r="B42" s="25" t="inlineStr">
        <is>
          <t>matti2053 (Matti on Discord)</t>
        </is>
      </c>
      <c r="C42" s="26" t="inlineStr">
        <is>
          <t>Alliance</t>
        </is>
      </c>
      <c r="D42" s="27" t="b">
        <v>0</v>
      </c>
      <c r="E42" s="27" t="b">
        <v>1</v>
      </c>
      <c r="F42" s="27" t="b">
        <v>0</v>
      </c>
      <c r="G42" s="28">
        <f>((IF(D42, 1, 0) * $D$4) + (IF(E42, 1, 0) * $E$4) + (IF(F42, 1, 0) * $F$4))</f>
        <v/>
      </c>
      <c r="H42" s="27">
        <f>COUNTIF(D42:F42, TRUE)</f>
        <v/>
      </c>
      <c r="I42" s="25" t="inlineStr">
        <is>
          <t>SoD only - Confirmed: matti is glen</t>
        </is>
      </c>
    </row>
    <row r="43">
      <c r="A43" s="24" t="inlineStr">
        <is>
          <t>zerodas</t>
        </is>
      </c>
      <c r="B43" s="25" t="inlineStr">
        <is>
          <t>.zerodas</t>
        </is>
      </c>
      <c r="C43" s="26" t="inlineStr">
        <is>
          <t>Alliance</t>
        </is>
      </c>
      <c r="D43" s="27" t="b">
        <v>0</v>
      </c>
      <c r="E43" s="27" t="b">
        <v>1</v>
      </c>
      <c r="F43" s="27" t="b">
        <v>1</v>
      </c>
      <c r="G43" s="28">
        <f>((IF(D43, 1, 0) * $D$4) + (IF(E43, 1, 0) * $E$4) + (IF(F43, 1, 0) * $F$4))</f>
        <v/>
      </c>
      <c r="H43" s="27">
        <f>COUNTIF(D43:F43, TRUE)</f>
        <v/>
      </c>
      <c r="I43" s="25" t="inlineStr">
        <is>
          <t>SoD + Retail</t>
        </is>
      </c>
    </row>
    <row r="44">
      <c r="A44" s="24" t="inlineStr">
        <is>
          <t>starfirebeam</t>
        </is>
      </c>
      <c r="B44" s="25" t="inlineStr">
        <is>
          <t>.sebkor</t>
        </is>
      </c>
      <c r="C44" s="26" t="inlineStr">
        <is>
          <t>Alliance</t>
        </is>
      </c>
      <c r="D44" s="27" t="b">
        <v>0</v>
      </c>
      <c r="E44" s="27" t="b">
        <v>1</v>
      </c>
      <c r="F44" s="27" t="b">
        <v>1</v>
      </c>
      <c r="G44" s="28">
        <f>((IF(D44, 1, 0) * $D$4) + (IF(E44, 1, 0) * $E$4) + (IF(F44, 1, 0) * $F$4))</f>
        <v/>
      </c>
      <c r="H44" s="27">
        <f>COUNTIF(D44:F44, TRUE)</f>
        <v/>
      </c>
      <c r="I44" s="25" t="inlineStr">
        <is>
          <t>SoD + Retail</t>
        </is>
      </c>
    </row>
    <row r="45">
      <c r="A45" s="24" t="inlineStr">
        <is>
          <t>celth</t>
        </is>
      </c>
      <c r="B45" s="25" t="inlineStr">
        <is>
          <t>celthric1</t>
        </is>
      </c>
      <c r="C45" s="26" t="inlineStr">
        <is>
          <t>Alliance</t>
        </is>
      </c>
      <c r="D45" s="27" t="b">
        <v>1</v>
      </c>
      <c r="E45" s="27" t="b">
        <v>1</v>
      </c>
      <c r="F45" s="27" t="b">
        <v>0</v>
      </c>
      <c r="G45" s="28">
        <f>((IF(D45, 1, 0) * $D$4) + (IF(E45, 1, 0) * $E$4) + (IF(F45, 1, 0) * $F$4))</f>
        <v/>
      </c>
      <c r="H45" s="27">
        <f>COUNTIF(D45:F45, TRUE)</f>
        <v/>
      </c>
      <c r="I45" s="25" t="inlineStr">
        <is>
          <t>Classic + SoD</t>
        </is>
      </c>
    </row>
    <row r="46">
      <c r="A46" s="24" t="inlineStr">
        <is>
          <t>chobo</t>
        </is>
      </c>
      <c r="B46" s="25" t="inlineStr">
        <is>
          <t>i_am_jam</t>
        </is>
      </c>
      <c r="C46" s="26" t="inlineStr">
        <is>
          <t>Alliance</t>
        </is>
      </c>
      <c r="D46" s="27" t="b">
        <v>0</v>
      </c>
      <c r="E46" s="27" t="b">
        <v>0</v>
      </c>
      <c r="F46" s="27" t="b">
        <v>0</v>
      </c>
      <c r="G46" s="28">
        <f>((IF(D46, 1, 0) * $D$4) + (IF(E46, 1, 0) * $E$4) + (IF(F46, 1, 0) * $F$4))</f>
        <v/>
      </c>
      <c r="H46" s="27">
        <f>COUNTIF(D46:F46, TRUE)</f>
        <v/>
      </c>
      <c r="I46" s="25" t="inlineStr">
        <is>
          <t>0 Eras played (0 votes)</t>
        </is>
      </c>
    </row>
    <row r="47">
      <c r="A47" s="24" t="inlineStr">
        <is>
          <t>port</t>
        </is>
      </c>
      <c r="B47" s="25" t="inlineStr">
        <is>
          <t>(Sheet member)</t>
        </is>
      </c>
      <c r="C47" s="26" t="inlineStr">
        <is>
          <t>Alliance</t>
        </is>
      </c>
      <c r="D47" s="27" t="b">
        <v>1</v>
      </c>
      <c r="E47" s="27" t="b">
        <v>1</v>
      </c>
      <c r="F47" s="27" t="b">
        <v>1</v>
      </c>
      <c r="G47" s="28">
        <f>((IF(D47, 1, 0) * $D$4) + (IF(E47, 1, 0) * $E$4) + (IF(F47, 1, 0) * $F$4))</f>
        <v/>
      </c>
      <c r="H47" s="27">
        <f>COUNTIF(D47:F47, TRUE)</f>
        <v/>
      </c>
      <c r="I47" s="25" t="inlineStr">
        <is>
          <t>All 3 Eras</t>
        </is>
      </c>
    </row>
    <row r="48">
      <c r="A48" s="24" t="inlineStr">
        <is>
          <t>droggo</t>
        </is>
      </c>
      <c r="B48" s="25" t="inlineStr">
        <is>
          <t>droggo</t>
        </is>
      </c>
      <c r="C48" s="26" t="inlineStr">
        <is>
          <t>Alliance</t>
        </is>
      </c>
      <c r="D48" s="27" t="b">
        <v>1</v>
      </c>
      <c r="E48" s="27" t="b">
        <v>1</v>
      </c>
      <c r="F48" s="27" t="b">
        <v>0</v>
      </c>
      <c r="G48" s="28">
        <f>((IF(D48, 1, 0) * $D$4) + (IF(E48, 1, 0) * $E$4) + (IF(F48, 1, 0) * $F$4))</f>
        <v/>
      </c>
      <c r="H48" s="27">
        <f>COUNTIF(D48:F48, TRUE)</f>
        <v/>
      </c>
      <c r="I48" s="25" t="inlineStr">
        <is>
          <t>Classic + SoD</t>
        </is>
      </c>
    </row>
    <row r="49">
      <c r="A49" s="24" t="inlineStr">
        <is>
          <t>atoz</t>
        </is>
      </c>
      <c r="B49" s="25" t="inlineStr">
        <is>
          <t>atozztoa</t>
        </is>
      </c>
      <c r="C49" s="26" t="inlineStr">
        <is>
          <t>Alliance</t>
        </is>
      </c>
      <c r="D49" s="27" t="b">
        <v>1</v>
      </c>
      <c r="E49" s="27" t="b">
        <v>0</v>
      </c>
      <c r="F49" s="27" t="b">
        <v>0</v>
      </c>
      <c r="G49" s="28">
        <f>((IF(D49, 1, 0) * $D$4) + (IF(E49, 1, 0) * $E$4) + (IF(F49, 1, 0) * $F$4))</f>
        <v/>
      </c>
      <c r="H49" s="27">
        <f>COUNTIF(D49:F49, TRUE)</f>
        <v/>
      </c>
      <c r="I49" s="25" t="inlineStr">
        <is>
          <t>Classic only</t>
        </is>
      </c>
    </row>
    <row r="50">
      <c r="A50" s="24" t="inlineStr">
        <is>
          <t>noxqs</t>
        </is>
      </c>
      <c r="B50" s="25" t="inlineStr">
        <is>
          <t>noxqs</t>
        </is>
      </c>
      <c r="C50" s="26" t="inlineStr">
        <is>
          <t>Alliance</t>
        </is>
      </c>
      <c r="D50" s="27" t="b">
        <v>0</v>
      </c>
      <c r="E50" s="27" t="b">
        <v>1</v>
      </c>
      <c r="F50" s="27" t="b">
        <v>0</v>
      </c>
      <c r="G50" s="28">
        <f>((IF(D50, 1, 0) * $D$4) + (IF(E50, 1, 0) * $E$4) + (IF(F50, 1, 0) * $F$4))</f>
        <v/>
      </c>
      <c r="H50" s="27">
        <f>COUNTIF(D50:F50, TRUE)</f>
        <v/>
      </c>
      <c r="I50" s="25" t="inlineStr">
        <is>
          <t>SoD only</t>
        </is>
      </c>
    </row>
    <row r="51">
      <c r="A51" s="19" t="inlineStr">
        <is>
          <t>Alliance Subtotal</t>
        </is>
      </c>
      <c r="B51" s="20" t="n"/>
      <c r="C51" s="21" t="inlineStr">
        <is>
          <t>23 Players</t>
        </is>
      </c>
      <c r="D51" s="20" t="n"/>
      <c r="E51" s="20" t="n"/>
      <c r="F51" s="20" t="n"/>
      <c r="G51" s="29">
        <f>SUM(G28:G50)</f>
        <v/>
      </c>
      <c r="H51" s="23">
        <f>SUM(H28:H50)</f>
        <v/>
      </c>
      <c r="I51" s="20" t="n"/>
    </row>
  </sheetData>
  <dataValidations count="1">
    <dataValidation sqref="D8:F5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7" customWidth="1" min="4" max="4"/>
    <col width="14" customWidth="1" min="5" max="5"/>
    <col width="14" customWidth="1" min="6" max="6"/>
    <col width="50" customWidth="1" min="7" max="7"/>
  </cols>
  <sheetData>
    <row r="1">
      <c r="A1" s="1" t="inlineStr">
        <is>
          <t>WoW Forever (Classic+) - Weighting Models Comparison</t>
        </is>
      </c>
    </row>
    <row r="2">
      <c r="A2" s="2" t="inlineStr">
        <is>
          <t>Different ways to evaluate 'Classic was most old, SoD semi-recent, Retail is current'</t>
        </is>
      </c>
    </row>
    <row r="3"/>
    <row r="4">
      <c r="A4" s="12" t="inlineStr">
        <is>
          <t>Philosophy / Model</t>
        </is>
      </c>
      <c r="B4" s="13" t="inlineStr">
        <is>
          <t>Era Weights (C : S : R)</t>
        </is>
      </c>
      <c r="C4" s="13" t="inlineStr">
        <is>
          <t>Horde Score</t>
        </is>
      </c>
      <c r="D4" s="13" t="inlineStr">
        <is>
          <t>Alliance Score</t>
        </is>
      </c>
      <c r="E4" s="13" t="inlineStr">
        <is>
          <t>Winner</t>
        </is>
      </c>
      <c r="F4" s="13" t="inlineStr">
        <is>
          <t>Lead Margin</t>
        </is>
      </c>
      <c r="G4" s="12" t="inlineStr">
        <is>
          <t>Why Use This Model?</t>
        </is>
      </c>
    </row>
    <row r="5">
      <c r="A5" s="30" t="inlineStr">
        <is>
          <t>1. Classic+ Relevance Model (Recommended)</t>
        </is>
      </c>
      <c r="B5" s="31" t="inlineStr">
        <is>
          <t>Classic=2, SoD=3, Retail=1</t>
        </is>
      </c>
      <c r="C5" s="31" t="inlineStr">
        <is>
          <t>80 (45.7%)</t>
        </is>
      </c>
      <c r="D5" s="31" t="inlineStr">
        <is>
          <t>95 (54.3%)</t>
        </is>
      </c>
      <c r="E5" s="32" t="inlineStr">
        <is>
          <t>ALLIANCE</t>
        </is>
      </c>
      <c r="F5" s="31" t="inlineStr">
        <is>
          <t>+15</t>
        </is>
      </c>
      <c r="G5" s="33" t="inlineStr">
        <is>
          <t>WoW Forever is Classic+. SoD is its direct predecessor, Classic is foundational, Retail is least relevant.</t>
        </is>
      </c>
    </row>
    <row r="6">
      <c r="A6" s="30" t="inlineStr">
        <is>
          <t>2. Seniority / Guild Veteran Model</t>
        </is>
      </c>
      <c r="B6" s="31" t="inlineStr">
        <is>
          <t>Classic=3, SoD=2, Retail=1</t>
        </is>
      </c>
      <c r="C6" s="31" t="inlineStr">
        <is>
          <t>79 (47.9%)</t>
        </is>
      </c>
      <c r="D6" s="31" t="inlineStr">
        <is>
          <t>86 (52.1%)</t>
        </is>
      </c>
      <c r="E6" s="32" t="inlineStr">
        <is>
          <t>ALLIANCE</t>
        </is>
      </c>
      <c r="F6" s="31" t="inlineStr">
        <is>
          <t>+7</t>
        </is>
      </c>
      <c r="G6" s="33" t="inlineStr">
        <is>
          <t>Weights oldest eras most heavily to honor longest-standing guild loyalty.</t>
        </is>
      </c>
    </row>
    <row r="7">
      <c r="A7" s="30" t="inlineStr">
        <is>
          <t>3. Recency / Active Guild Model</t>
        </is>
      </c>
      <c r="B7" s="31" t="inlineStr">
        <is>
          <t>Classic=1, SoD=2, Retail=3</t>
        </is>
      </c>
      <c r="C7" s="31" t="inlineStr">
        <is>
          <t>77 (46.1%)</t>
        </is>
      </c>
      <c r="D7" s="31" t="inlineStr">
        <is>
          <t>90 (53.9%)</t>
        </is>
      </c>
      <c r="E7" s="32" t="inlineStr">
        <is>
          <t>ALLIANCE</t>
        </is>
      </c>
      <c r="F7" s="31" t="inlineStr">
        <is>
          <t>+13</t>
        </is>
      </c>
      <c r="G7" s="33" t="inlineStr">
        <is>
          <t>Weights current activity most heavily so currently active members shape the guild's future.</t>
        </is>
      </c>
    </row>
    <row r="8">
      <c r="A8" s="30" t="inlineStr">
        <is>
          <t>4. Original Flat Experience Model</t>
        </is>
      </c>
      <c r="B8" s="31" t="inlineStr">
        <is>
          <t>Classic=1, SoD=1, Retail=1</t>
        </is>
      </c>
      <c r="C8" s="31" t="inlineStr">
        <is>
          <t>39 (47.0%)</t>
        </is>
      </c>
      <c r="D8" s="31" t="inlineStr">
        <is>
          <t>44 (53.0%)</t>
        </is>
      </c>
      <c r="E8" s="32" t="inlineStr">
        <is>
          <t>ALLIANCE</t>
        </is>
      </c>
      <c r="F8" s="31" t="inlineStr">
        <is>
          <t>+5</t>
        </is>
      </c>
      <c r="G8" s="33" t="inlineStr">
        <is>
          <t>1 point per era played with the guild (what the original screenshot did).</t>
        </is>
      </c>
    </row>
    <row r="9">
      <c r="A9" s="30" t="inlineStr">
        <is>
          <t>5. Classic &amp; SoD Equal Priority</t>
        </is>
      </c>
      <c r="B9" s="31" t="inlineStr">
        <is>
          <t>Classic=2, SoD=2, Retail=1</t>
        </is>
      </c>
      <c r="C9" s="31" t="inlineStr">
        <is>
          <t>66 (46.8%)</t>
        </is>
      </c>
      <c r="D9" s="31" t="inlineStr">
        <is>
          <t>75 (53.2%)</t>
        </is>
      </c>
      <c r="E9" s="32" t="inlineStr">
        <is>
          <t>ALLIANCE</t>
        </is>
      </c>
      <c r="F9" s="31" t="inlineStr">
        <is>
          <t>+9</t>
        </is>
      </c>
      <c r="G9" s="33" t="inlineStr">
        <is>
          <t>Balances Classic and SoD equally while giving minor weight to Retail.</t>
        </is>
      </c>
    </row>
    <row r="10">
      <c r="A10" s="30" t="inlineStr">
        <is>
          <t>6. Eligibility Gate (1p = 1v)</t>
        </is>
      </c>
      <c r="B10" s="31" t="inlineStr">
        <is>
          <t>Played &gt;= 1 era = 1 vote</t>
        </is>
      </c>
      <c r="C10" s="31" t="inlineStr">
        <is>
          <t>18 (46.2%)</t>
        </is>
      </c>
      <c r="D10" s="31" t="inlineStr">
        <is>
          <t>21 (53.8%)</t>
        </is>
      </c>
      <c r="E10" s="32" t="inlineStr">
        <is>
          <t>ALLIANCE</t>
        </is>
      </c>
      <c r="F10" s="31" t="inlineStr">
        <is>
          <t>+3</t>
        </is>
      </c>
      <c r="G10" s="33" t="inlineStr">
        <is>
          <t>Eliminates inactive voters (Falkoro, Korovaemae, Chobo), but gives 1 equal vote to everyone else.</t>
        </is>
      </c>
    </row>
    <row r="11"/>
    <row r="12"/>
    <row r="13">
      <c r="A13" s="34" t="inlineStr">
        <is>
          <t>THE KINGMAKER SENSITIVITY: WHAT HAPPENS IF SODAM IS COUNTED AS HORDE?</t>
        </is>
      </c>
    </row>
    <row r="14">
      <c r="A14" s="35" t="inlineStr">
        <is>
          <t>Because Sodam played all 3 eras, Sodam is the decisive swing vote:</t>
        </is>
      </c>
    </row>
    <row r="15">
      <c r="A15" s="36" t="inlineStr">
        <is>
          <t>Philosophy / Model</t>
        </is>
      </c>
      <c r="B15" s="37" t="inlineStr">
        <is>
          <t>Era Weights (C : S : R)</t>
        </is>
      </c>
      <c r="C15" s="37" t="inlineStr">
        <is>
          <t>Horde Score</t>
        </is>
      </c>
      <c r="D15" s="37" t="inlineStr">
        <is>
          <t>Alliance Score</t>
        </is>
      </c>
      <c r="E15" s="37" t="inlineStr">
        <is>
          <t>Winner</t>
        </is>
      </c>
      <c r="F15" s="37" t="inlineStr">
        <is>
          <t>Lead Margin</t>
        </is>
      </c>
      <c r="G15" s="36" t="inlineStr">
        <is>
          <t>Outcome</t>
        </is>
      </c>
    </row>
    <row r="16">
      <c r="A16" s="30" t="inlineStr">
        <is>
          <t>1. Classic+ Relevance Model</t>
        </is>
      </c>
      <c r="B16" s="31" t="inlineStr">
        <is>
          <t>Classic=2, SoD=3, Retail=1</t>
        </is>
      </c>
      <c r="C16" s="31" t="inlineStr">
        <is>
          <t>89 (51.7%)</t>
        </is>
      </c>
      <c r="D16" s="31" t="inlineStr">
        <is>
          <t>83 (48.3%)</t>
        </is>
      </c>
      <c r="E16" s="38" t="inlineStr">
        <is>
          <t>HORDE</t>
        </is>
      </c>
      <c r="F16" s="31" t="inlineStr">
        <is>
          <t>+6</t>
        </is>
      </c>
      <c r="G16" s="33" t="inlineStr">
        <is>
          <t>Horde takes the lead if Sodam is counted for Horde.</t>
        </is>
      </c>
    </row>
    <row r="17">
      <c r="A17" s="30" t="inlineStr">
        <is>
          <t>2. Seniority / Guild Veteran Model</t>
        </is>
      </c>
      <c r="B17" s="31" t="inlineStr">
        <is>
          <t>Classic=3, SoD=2, Retail=1</t>
        </is>
      </c>
      <c r="C17" s="31" t="inlineStr">
        <is>
          <t>89 (54.6%)</t>
        </is>
      </c>
      <c r="D17" s="31" t="inlineStr">
        <is>
          <t>74 (45.4%)</t>
        </is>
      </c>
      <c r="E17" s="38" t="inlineStr">
        <is>
          <t>HORDE</t>
        </is>
      </c>
      <c r="F17" s="31" t="inlineStr">
        <is>
          <t>+15</t>
        </is>
      </c>
      <c r="G17" s="33" t="inlineStr">
        <is>
          <t>Horde wins by 15 points due to Sodam + Vanargand Classic veteran mass.</t>
        </is>
      </c>
    </row>
    <row r="18">
      <c r="A18" s="30" t="inlineStr">
        <is>
          <t>3. Recency / Active Guild Model</t>
        </is>
      </c>
      <c r="B18" s="31" t="inlineStr">
        <is>
          <t>Classic=1, SoD=2, Retail=3</t>
        </is>
      </c>
      <c r="C18" s="31" t="inlineStr">
        <is>
          <t>87 (52.7%)</t>
        </is>
      </c>
      <c r="D18" s="31" t="inlineStr">
        <is>
          <t>78 (47.3%)</t>
        </is>
      </c>
      <c r="E18" s="38" t="inlineStr">
        <is>
          <t>HORDE</t>
        </is>
      </c>
      <c r="F18" s="31" t="inlineStr">
        <is>
          <t>+9</t>
        </is>
      </c>
      <c r="G18" s="33" t="inlineStr">
        <is>
          <t>Horde wins by 9 points.</t>
        </is>
      </c>
    </row>
    <row r="19">
      <c r="A19" s="30" t="inlineStr">
        <is>
          <t>4. Original Flat Experience Model</t>
        </is>
      </c>
      <c r="B19" s="31" t="inlineStr">
        <is>
          <t>Classic=1, SoD=1, Retail=1</t>
        </is>
      </c>
      <c r="C19" s="31" t="inlineStr">
        <is>
          <t>44 (53.7%)</t>
        </is>
      </c>
      <c r="D19" s="31" t="inlineStr">
        <is>
          <t>38 (46.3%)</t>
        </is>
      </c>
      <c r="E19" s="38" t="inlineStr">
        <is>
          <t>HORDE</t>
        </is>
      </c>
      <c r="F19" s="31" t="inlineStr">
        <is>
          <t>+6</t>
        </is>
      </c>
      <c r="G19" s="33" t="inlineStr">
        <is>
          <t>Horde wins by 6 points.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2026-09-23T13:36:07Z</dcterms:created>
  <dcterms:modified xsi:type="dcterms:W3CDTF">2026-09-23T13:36:07Z</dcterms:modified>
</cp:coreProperties>
</file>